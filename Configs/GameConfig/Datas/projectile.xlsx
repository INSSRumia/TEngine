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048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<sst xmlns="http://schemas.openxmlformats.org/spreadsheetml/2006/main" count="51" uniqueCount="33">
  <si>
    <t>##var</t>
  </si>
  <si>
    <t>config_id</t>
  </si>
  <si>
    <t>*lst_level_config</t>
  </si>
  <si>
    <t>level</t>
  </si>
  <si>
    <t>name</t>
  </si>
  <si>
    <t>move_ability</t>
  </si>
  <si>
    <t>damage_ability</t>
  </si>
  <si>
    <t>lifetime</t>
  </si>
  <si>
    <t>tracking</t>
  </si>
  <si>
    <t>lst_ability#format=lite</t>
  </si>
  <si>
    <t>##type</t>
  </si>
  <si>
    <t>int</t>
  </si>
  <si>
    <t>string</t>
  </si>
  <si>
    <t>##</t>
  </si>
  <si>
    <t>移动速度</t>
  </si>
  <si>
    <t>是否根据速度计算伤害</t>
  </si>
  <si>
    <t>伤害速度倍率</t>
  </si>
  <si>
    <t>穿透次数</t>
  </si>
  <si>
    <t>存活时间</t>
  </si>
  <si>
    <t>追踪类型</t>
  </si>
  <si>
    <t>能力（预留了4个位置)</t>
  </si>
  <si>
    <t>生存时间</t>
  </si>
  <si>
    <t/>
  </si>
  <si>
    <t>能力</t>
  </si>
  <si>
    <t>arrow</t>
  </si>
  <si>
    <t>箭</t>
  </si>
  <si>
    <t>30</t>
  </si>
  <si>
    <t>true</t>
  </si>
  <si>
    <t>0.05</t>
  </si>
  <si>
    <t>1</t>
  </si>
  <si>
    <t>no_track,1000</t>
  </si>
  <si>
    <t>fire_ball</t>
  </si>
  <si>
    <t>火球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</si>
</sst>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8" borderId="5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6">
      <alignment vertical="center"/>
    </xf>
    <xf numFmtId="0" fontId="9" fillId="0" borderId="6">
      <alignment vertical="center"/>
    </xf>
    <xf numFmtId="0" fontId="10" fillId="0" borderId="7">
      <alignment vertical="center"/>
    </xf>
    <xf numFmtId="0" fontId="10" fillId="0" borderId="0">
      <alignment vertical="center"/>
    </xf>
    <xf numFmtId="0" fontId="11" fillId="9" borderId="8">
      <alignment vertical="center"/>
    </xf>
    <xf numFmtId="0" fontId="12" fillId="10" borderId="9">
      <alignment vertical="center"/>
    </xf>
    <xf numFmtId="0" fontId="13" fillId="10" borderId="8">
      <alignment vertical="center"/>
    </xf>
    <xf numFmtId="0" fontId="14" fillId="11" borderId="10">
      <alignment vertical="center"/>
    </xf>
    <xf numFmtId="0" fontId="15" fillId="0" borderId="11">
      <alignment vertical="center"/>
    </xf>
    <xf numFmtId="0" fontId="16" fillId="0" borderId="12">
      <alignment vertical="center"/>
    </xf>
    <xf numFmtId="0" fontId="17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21" fillId="32" borderId="0">
      <alignment vertical="center"/>
    </xf>
    <xf numFmtId="0" fontId="21" fillId="33" borderId="0">
      <alignment vertical="center"/>
    </xf>
    <xf numFmtId="0" fontId="20" fillId="34" borderId="0">
      <alignment vertical="center"/>
    </xf>
    <xf numFmtId="0" fontId="20" fillId="35" borderId="0">
      <alignment vertical="center"/>
    </xf>
    <xf numFmtId="0" fontId="21" fillId="36" borderId="0">
      <alignment vertical="center"/>
    </xf>
    <xf numFmtId="0" fontId="21" fillId="37" borderId="0">
      <alignment vertical="center"/>
    </xf>
    <xf numFmtId="0" fontId="20" fillId="38" borderId="0">
      <alignment vertical="center"/>
    </xf>
  </cellStyleXfs>
  <cellXfs count="47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" xfId="0" applyNumberFormat="1" applyFont="1" applyBorder="1" applyAlignment="1">
      <alignment vertical="center"/>
    </xf>
    <xf numFmtId="0" fontId="1" fillId="0" borderId="2" xfId="0" applyNumberFormat="1" applyFont="1" applyBorder="1" applyAlignment="1">
      <alignment vertical="center"/>
    </xf>
    <xf numFmtId="0" fontId="1" fillId="0" borderId="1" xfId="0" applyNumberFormat="1" applyFont="1" applyBorder="1" applyAlignment="1">
      <alignment vertical="center"/>
    </xf>
    <xf numFmtId="0" fontId="1" fillId="0" borderId="3" xfId="0" applyNumberFormat="1" applyFont="1" applyBorder="1" applyAlignment="1">
      <alignment vertical="center"/>
    </xf>
    <xf numFmtId="0" fontId="1" fillId="0" borderId="3" xfId="0" applyNumberFormat="1" applyFont="1" applyBorder="1" applyAlignment="1">
      <alignment vertical="center"/>
    </xf>
    <xf numFmtId="0" fontId="0" fillId="0" borderId="1" xfId="0" applyBorder="1" applyAlignment="1">
      <alignment vertical="center"/>
    </xf>
    <xf numFmtId="49" fontId="1" fillId="2" borderId="1" xfId="0" applyNumberFormat="1" applyFont="1" applyFill="1" applyBorder="1" applyAlignment="1">
      <alignment vertical="center"/>
    </xf>
    <xf numFmtId="0" fontId="1" fillId="2" borderId="2" xfId="0" applyNumberFormat="1" applyFont="1" applyFill="1" applyBorder="1" applyAlignment="1">
      <alignment horizontal="center" vertical="center"/>
    </xf>
    <xf numFmtId="0" fontId="1" fillId="2" borderId="4" xfId="0" applyNumberFormat="1" applyFont="1" applyFill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2" borderId="3" xfId="0" applyNumberFormat="1" applyFont="1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0" fontId="1" fillId="2" borderId="1" xfId="0" applyNumberFormat="1" applyFont="1" applyFill="1" applyBorder="1" applyAlignment="1">
      <alignment vertical="center"/>
    </xf>
    <xf numFmtId="0" fontId="1" fillId="2" borderId="2" xfId="0" applyNumberFormat="1" applyFont="1" applyFill="1" applyBorder="1" applyAlignment="1">
      <alignment vertical="center"/>
    </xf>
    <xf numFmtId="0" fontId="1" fillId="2" borderId="1" xfId="0" applyNumberFormat="1" applyFont="1" applyFill="1" applyBorder="1" applyAlignment="1">
      <alignment vertical="center"/>
    </xf>
    <xf numFmtId="0" fontId="1" fillId="2" borderId="3" xfId="0" applyNumberFormat="1" applyFont="1" applyFill="1" applyBorder="1" applyAlignment="1">
      <alignment vertical="center"/>
    </xf>
    <xf numFmtId="0" fontId="1" fillId="2" borderId="3" xfId="0" applyNumberFormat="1" applyFont="1" applyFill="1" applyBorder="1" applyAlignment="1">
      <alignment vertical="center"/>
    </xf>
    <xf numFmtId="0" fontId="1" fillId="2" borderId="1" xfId="0" applyNumberFormat="1" applyFont="1" applyFill="1" applyBorder="1" applyAlignment="1">
      <alignment vertical="center"/>
    </xf>
    <xf numFmtId="0" fontId="1" fillId="5" borderId="1" xfId="0" applyNumberFormat="1" applyFont="1" applyFill="1" applyBorder="1" applyAlignment="1">
      <alignment vertical="center"/>
    </xf>
    <xf numFmtId="49" fontId="1" fillId="3" borderId="1" xfId="0" applyNumberFormat="1" applyFont="1" applyFill="1" applyBorder="1" applyAlignment="1">
      <alignment horizontal="center" vertical="center"/>
    </xf>
    <xf numFmtId="0" fontId="2" fillId="3" borderId="1" xfId="0" applyNumberFormat="1" applyFont="1" applyFill="1" applyBorder="1" applyAlignment="1">
      <alignment vertical="center"/>
    </xf>
    <xf numFmtId="0" fontId="2" fillId="3" borderId="1" xfId="0" applyNumberFormat="1" applyFont="1" applyFill="1" applyBorder="1" applyAlignment="1">
      <alignment horizontal="center" vertical="center"/>
    </xf>
    <xf numFmtId="0" fontId="2" fillId="3" borderId="2" xfId="0" applyNumberFormat="1" applyFont="1" applyFill="1" applyBorder="1" applyAlignment="1">
      <alignment horizontal="center" vertical="center"/>
    </xf>
    <xf numFmtId="0" fontId="2" fillId="3" borderId="1" xfId="0" applyNumberFormat="1" applyFont="1" applyFill="1" applyBorder="1" applyAlignment="1">
      <alignment horizontal="center" vertical="center"/>
    </xf>
    <xf numFmtId="0" fontId="2" fillId="3" borderId="3" xfId="0" applyNumberFormat="1" applyFont="1" applyFill="1" applyBorder="1" applyAlignment="1">
      <alignment horizontal="center" vertical="center"/>
    </xf>
    <xf numFmtId="0" fontId="2" fillId="3" borderId="3" xfId="0" applyNumberFormat="1" applyFont="1" applyFill="1" applyBorder="1" applyAlignment="1">
      <alignment horizontal="center" vertical="center"/>
    </xf>
    <xf numFmtId="0" fontId="2" fillId="3" borderId="1" xfId="0" applyNumberFormat="1" applyFont="1" applyFill="1" applyBorder="1" applyAlignment="1">
      <alignment vertical="center"/>
    </xf>
    <xf numFmtId="0" fontId="1" fillId="6" borderId="1" xfId="0" applyNumberFormat="1" applyFont="1" applyFill="1" applyBorder="1" applyAlignment="1">
      <alignment vertical="center"/>
    </xf>
    <xf numFmtId="49" fontId="2" fillId="3" borderId="1" xfId="0" applyNumberFormat="1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49" fontId="1" fillId="4" borderId="1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horizontal="center" vertical="center"/>
    </xf>
    <xf numFmtId="0" fontId="2" fillId="4" borderId="2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vertical="center"/>
    </xf>
    <xf numFmtId="0" fontId="1" fillId="4" borderId="4" xfId="0" applyNumberFormat="1" applyFont="1" applyFill="1" applyBorder="1" applyAlignment="1">
      <alignment horizontal="center" vertical="center"/>
    </xf>
    <xf numFmtId="0" fontId="1" fillId="4" borderId="3" xfId="0" applyNumberFormat="1" applyFont="1" applyFill="1" applyBorder="1" applyAlignment="1">
      <alignment horizontal="center" vertical="center"/>
    </xf>
    <xf numFmtId="0" fontId="2" fillId="4" borderId="3" xfId="0" applyNumberFormat="1" applyFont="1" applyFill="1" applyBorder="1" applyAlignment="1">
      <alignment horizontal="center" vertical="center"/>
    </xf>
    <xf numFmtId="0" fontId="1" fillId="7" borderId="1" xfId="0" applyNumberFormat="1" applyFont="1" applyFill="1" applyBorder="1" applyAlignment="1">
      <alignment vertical="center"/>
    </xf>
    <xf numFmtId="0" fontId="1" fillId="4" borderId="1" xfId="0" applyNumberFormat="1" applyFont="1" applyFill="1" applyBorder="1" applyAlignment="1">
      <alignment vertical="center"/>
    </xf>
    <xf numFmtId="0" fontId="1" fillId="4" borderId="1" xfId="0" applyFont="1" applyFill="1" applyBorder="1" applyAlignment="1">
      <alignment vertical="center"/>
    </xf>
    <xf numFmtId="0" fontId="0" fillId="4" borderId="1" xfId="0" applyFill="1" applyBorder="1" applyAlignment="1">
      <alignment vertical="center"/>
    </xf>
    <xf numFmtId="49" fontId="1" fillId="0" borderId="1" xfId="0" applyNumberFormat="1" applyFont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8"/>
  <sheetViews>
    <sheetView tabSelected="1" topLeftCell="F1" workbookViewId="0">
      <selection activeCell="R12" sqref="R12"/>
    </sheetView>
  </sheetViews>
  <sheetFormatPr defaultColWidth="9" defaultRowHeight="14" outlineLevelRow="7"/>
  <cols>
    <col min="1" max="1" width="9" style="4" customWidth="1"/>
    <col min="2" max="2" width="11.5454545454545" style="4" customWidth="1"/>
    <col min="3" max="4" width="9" style="5" customWidth="1"/>
    <col min="5" max="5" width="9.90909090909091" style="5" customWidth="1"/>
    <col min="6" max="6" width="24.0909090909091" style="5" customWidth="1"/>
    <col min="7" max="7" width="24.0909090909091" style="6" customWidth="1"/>
    <col min="8" max="9" width="14.6363636363636" style="7" customWidth="1"/>
    <col min="10" max="10" width="16.4545454545455" style="7" customWidth="1"/>
    <col min="11" max="13" width="16.4545454545455" style="8" customWidth="1"/>
    <col min="14" max="14" width="14.6363636363636" style="8" customWidth="1"/>
    <col min="15" max="15" width="15.2727272727273" style="9" customWidth="1"/>
    <col min="16" max="16" width="17.7272727272727" style="6" customWidth="1"/>
    <col min="17" max="17" width="10.3636363636364" style="7" customWidth="1"/>
    <col min="18" max="18" width="18.9090909090909" style="7" customWidth="1"/>
    <col min="19" max="19" width="28.7272727272727" style="5" customWidth="1"/>
    <col min="20" max="20" width="18.9090909090909" style="10" customWidth="1"/>
    <col min="21" max="31" width="9" style="10" customWidth="1"/>
  </cols>
  <sheetData>
    <row r="1" s="1" customFormat="1" spans="1:32">
      <c r="A1" s="11" t="s">
        <v>0</v>
      </c>
      <c r="B1" s="11" t="s">
        <v>1</v>
      </c>
      <c r="C1" s="12" t="s">
        <v>2</v>
      </c>
      <c r="D1" s="13"/>
      <c r="E1" s="13"/>
      <c r="F1" s="13"/>
      <c r="G1" s="13"/>
      <c r="H1" s="14"/>
      <c r="I1" s="14"/>
      <c r="J1" s="14"/>
      <c r="K1" s="13"/>
      <c r="L1" s="13"/>
      <c r="M1" s="13"/>
      <c r="N1" s="13"/>
      <c r="O1" s="13"/>
      <c r="P1" s="13"/>
      <c r="Q1" s="13"/>
      <c r="R1" s="13"/>
      <c r="S1" s="15"/>
      <c r="T1" s="11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</row>
    <row r="2" s="1" customFormat="1" spans="1:32">
      <c r="A2" s="11" t="s">
        <v>0</v>
      </c>
      <c r="B2" s="11"/>
      <c r="C2" s="17" t="s">
        <v>3</v>
      </c>
      <c r="D2" s="17" t="s">
        <v>4</v>
      </c>
      <c r="E2" s="17"/>
      <c r="F2" s="17"/>
      <c r="G2" s="18"/>
      <c r="H2" s="19"/>
      <c r="I2" s="19"/>
      <c r="J2" s="19"/>
      <c r="K2" s="20"/>
      <c r="L2" s="20"/>
      <c r="M2" s="20"/>
      <c r="N2" s="20"/>
      <c r="O2" s="21" t="s">
        <v>5</v>
      </c>
      <c r="P2" s="18" t="s">
        <v>6</v>
      </c>
      <c r="Q2" s="22" t="s">
        <v>7</v>
      </c>
      <c r="R2" s="23" t="s">
        <v>8</v>
      </c>
      <c r="S2" s="17" t="s">
        <v>9</v>
      </c>
      <c r="T2" s="11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="2" customFormat="1" spans="1:32">
      <c r="A3" s="24" t="s">
        <v>10</v>
      </c>
      <c r="B3" s="24"/>
      <c r="C3" s="25" t="s">
        <v>11</v>
      </c>
      <c r="D3" s="26" t="s">
        <v>12</v>
      </c>
      <c r="E3" s="26"/>
      <c r="F3" s="26"/>
      <c r="G3" s="27"/>
      <c r="H3" s="28"/>
      <c r="I3" s="28"/>
      <c r="J3" s="28"/>
      <c r="K3" s="29"/>
      <c r="L3" s="29"/>
      <c r="M3" s="29"/>
      <c r="N3" s="29"/>
      <c r="O3" s="30"/>
      <c r="P3" s="27"/>
      <c r="Q3" s="31"/>
      <c r="R3" s="32"/>
      <c r="S3" s="25"/>
      <c r="T3" s="33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</row>
    <row r="4" s="3" customFormat="1" spans="1:32">
      <c r="A4" s="35" t="s">
        <v>13</v>
      </c>
      <c r="B4" s="35"/>
      <c r="C4" s="36"/>
      <c r="D4" s="36"/>
      <c r="E4" s="36" t="s">
        <v>14</v>
      </c>
      <c r="F4" s="36" t="s">
        <v>15</v>
      </c>
      <c r="G4" s="37" t="s">
        <v>16</v>
      </c>
      <c r="H4" s="38" t="s">
        <v>17</v>
      </c>
      <c r="I4" s="38" t="s">
        <v>18</v>
      </c>
      <c r="J4" s="38" t="s">
        <v>19</v>
      </c>
      <c r="K4" s="39" t="s">
        <v>20</v>
      </c>
      <c r="L4" s="39"/>
      <c r="M4" s="39"/>
      <c r="N4" s="40"/>
      <c r="O4" s="41"/>
      <c r="P4" s="37"/>
      <c r="Q4" s="38" t="s">
        <v>21</v>
      </c>
      <c r="R4" s="42" t="s">
        <v>22</v>
      </c>
      <c r="S4" s="43" t="s">
        <v>23</v>
      </c>
      <c r="T4" s="44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</row>
    <row r="5" spans="1:32">
      <c r="A5" s="46"/>
      <c r="B5" s="46" t="s">
        <v>24</v>
      </c>
      <c r="C5" s="5">
        <v>0</v>
      </c>
      <c r="D5" s="5" t="s">
        <v>25</v>
      </c>
      <c r="E5" s="5" t="s">
        <v>26</v>
      </c>
      <c r="F5" s="5" t="s">
        <v>27</v>
      </c>
      <c r="G5" s="6" t="s">
        <v>28</v>
      </c>
      <c r="H5" s="7" t="s">
        <v>29</v>
      </c>
      <c r="I5" s="7">
        <v>5</v>
      </c>
      <c r="J5" s="5" t="s">
        <v>30</v>
      </c>
      <c r="O5" s="9" t="str">
        <f>_xlfn.CONCAT(0,",",E5)</f>
        <v>0,30</v>
      </c>
      <c r="P5" s="6" t="str">
        <f>_xlfn.TEXTJOIN(",",TRUE,"0",F5:H5)</f>
        <v>0,true,0.05,1</v>
      </c>
      <c r="Q5" s="7" t="str">
        <f>_xlfn.CONCAT("0",",",I5)</f>
        <v>0,5</v>
      </c>
      <c r="R5" s="7" t="str">
        <f>J5</f>
        <v>no_track,1000</v>
      </c>
      <c r="S5" s="5" t="str">
        <f>_xlfn.CONCAT("{",_xlfn.TEXTJOIN(",",TRUE,K5:N5),"}")</f>
        <v>{}</v>
      </c>
    </row>
    <row r="6" spans="1:32">
      <c r="A6" s="46"/>
      <c r="B6" s="46"/>
      <c r="C6" s="5">
        <v>1</v>
      </c>
      <c r="D6" s="5" t="s">
        <v>25</v>
      </c>
      <c r="E6" s="5" t="s">
        <v>26</v>
      </c>
      <c r="F6" s="5" t="s">
        <v>27</v>
      </c>
      <c r="G6" s="6" t="s">
        <v>28</v>
      </c>
      <c r="H6" s="7" t="s">
        <v>29</v>
      </c>
      <c r="I6" s="7">
        <v>5</v>
      </c>
      <c r="J6" s="5" t="s">
        <v>30</v>
      </c>
      <c r="O6" s="9" t="str">
        <f>_xlfn.CONCAT(0,",",E6)</f>
        <v>0,30</v>
      </c>
      <c r="P6" s="6" t="str">
        <f>_xlfn.TEXTJOIN(",",TRUE,"0",F6:H6)</f>
        <v>0,true,0.05,1</v>
      </c>
      <c r="Q6" s="7" t="str">
        <f>_xlfn.CONCAT("0",",",I6)</f>
        <v>0,5</v>
      </c>
      <c r="R6" s="7" t="str">
        <f>J6</f>
        <v>no_track,1000</v>
      </c>
      <c r="S6" s="5" t="str">
        <f>_xlfn.CONCAT("{",_xlfn.TEXTJOIN(",",TRUE,K6:N6),"}")</f>
        <v>{}</v>
      </c>
      <c r="T6" s="4"/>
    </row>
    <row r="7" spans="1:32">
      <c r="B7" s="4" t="s">
        <v>31</v>
      </c>
      <c r="C7" s="5">
        <v>0</v>
      </c>
      <c r="D7" s="5" t="s">
        <v>32</v>
      </c>
      <c r="E7" s="5" t="s">
        <v>26</v>
      </c>
      <c r="F7" s="5" t="s">
        <v>27</v>
      </c>
      <c r="G7" s="6" t="s">
        <v>28</v>
      </c>
      <c r="H7" s="7" t="s">
        <v>29</v>
      </c>
      <c r="I7" s="7">
        <v>5</v>
      </c>
      <c r="J7" s="5" t="s">
        <v>30</v>
      </c>
      <c r="O7" s="9" t="str">
        <f>_xlfn.CONCAT(0,",",E7)</f>
        <v>0,30</v>
      </c>
      <c r="P7" s="6" t="str">
        <f>_xlfn.TEXTJOIN(",",TRUE,"0",F7:H7)</f>
        <v>0,true,0.05,1</v>
      </c>
      <c r="Q7" s="7" t="str">
        <f>_xlfn.CONCAT("0",",",I7)</f>
        <v>0,5</v>
      </c>
      <c r="R7" s="7" t="str">
        <f>J7</f>
        <v>no_track,1000</v>
      </c>
      <c r="S7" s="5" t="str">
        <f>_xlfn.CONCAT("{",_xlfn.TEXTJOIN(",",TRUE,K7:N7),"}")</f>
        <v>{}</v>
      </c>
      <c r="T7" s="4"/>
    </row>
    <row r="8" spans="1:32">
      <c r="C8" s="5">
        <v>1</v>
      </c>
      <c r="D8" s="5" t="s">
        <v>32</v>
      </c>
      <c r="E8" s="5" t="s">
        <v>26</v>
      </c>
      <c r="F8" s="5" t="s">
        <v>27</v>
      </c>
      <c r="G8" s="6" t="s">
        <v>28</v>
      </c>
      <c r="H8" s="7" t="s">
        <v>29</v>
      </c>
      <c r="I8" s="7">
        <v>5</v>
      </c>
      <c r="J8" s="5" t="s">
        <v>30</v>
      </c>
      <c r="O8" s="9" t="str">
        <f>_xlfn.CONCAT(0,",",E8)</f>
        <v>0,30</v>
      </c>
      <c r="P8" s="6" t="str">
        <f>_xlfn.TEXTJOIN(",",TRUE,"0",F8:H8)</f>
        <v>0,true,0.05,1</v>
      </c>
      <c r="Q8" s="7" t="str">
        <f>_xlfn.CONCAT("0",",",I8)</f>
        <v>0,5</v>
      </c>
      <c r="R8" s="7" t="str">
        <f>J8</f>
        <v>no_track,1000</v>
      </c>
      <c r="S8" s="5" t="str">
        <f>_xlfn.CONCAT("{",_xlfn.TEXTJOIN(",",TRUE,K8:N8),"}")</f>
        <v>{}</v>
      </c>
      <c r="T8" s="4"/>
    </row>
  </sheetData>
  <mergeCells count="2">
    <mergeCell ref="C1:S1"/>
    <mergeCell ref="K4:N4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加 密 通 话</cp:lastModifiedBy>
  <dcterms:created xsi:type="dcterms:W3CDTF">2023-05-12T11:15:00Z</dcterms:created>
  <dcterms:modified xsi:type="dcterms:W3CDTF">2026-04-15T16:35:23Z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BA024B395AE141EABAE200EF6A60703B_12</vt:lpwstr>
  </property>
  <property fmtid="{D5CDD505-2E9C-101B-9397-08002B2CF9AE}" pid="4" name="CalculationRule">
    <vt:i4>0</vt:i4>
  </property>
</Properties>
</file>